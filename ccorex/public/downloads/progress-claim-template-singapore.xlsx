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Valuation" sheetId="2" state="visible" r:id="rId2"/>
    <sheet name="Vari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(#,##0.00);&quot;-&quot;"/>
    <numFmt numFmtId="165" formatCode="0.0%"/>
  </numFmts>
  <fonts count="9">
    <font>
      <name val="Calibri"/>
      <family val="2"/>
      <color theme="1"/>
      <sz val="11"/>
      <scheme val="minor"/>
    </font>
    <font>
      <b val="1"/>
      <color rgb="001F5F72"/>
      <sz val="16"/>
    </font>
    <font>
      <b val="1"/>
    </font>
    <font>
      <i val="1"/>
    </font>
    <font>
      <color rgb="005B6B73"/>
      <sz val="9"/>
    </font>
    <font>
      <b val="1"/>
      <color rgb="001F5F72"/>
    </font>
    <font>
      <b val="1"/>
      <color rgb="00FFFFFF"/>
    </font>
    <font>
      <b val="1"/>
      <color rgb="001F5F72"/>
      <sz val="13"/>
    </font>
    <font>
      <i val="1"/>
      <color rgb="005B6B73"/>
    </font>
  </fonts>
  <fills count="5">
    <fill>
      <patternFill/>
    </fill>
    <fill>
      <patternFill patternType="gray125"/>
    </fill>
    <fill>
      <patternFill patternType="solid">
        <fgColor rgb="00FFF8E1"/>
      </patternFill>
    </fill>
    <fill>
      <patternFill patternType="solid">
        <fgColor rgb="001F5F72"/>
      </patternFill>
    </fill>
    <fill>
      <patternFill patternType="solid">
        <fgColor rgb="00E6F1F4"/>
      </patternFill>
    </fill>
  </fills>
  <borders count="2">
    <border>
      <left/>
      <right/>
      <top/>
      <bottom/>
      <diagonal/>
    </border>
    <border>
      <left style="thin">
        <color rgb="00C9D3D8"/>
      </left>
      <right style="thin">
        <color rgb="00C9D3D8"/>
      </right>
      <top style="thin">
        <color rgb="00C9D3D8"/>
      </top>
      <bottom style="thin">
        <color rgb="00C9D3D8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164" fontId="0" fillId="2" borderId="1" pivotButton="0" quotePrefix="0" xfId="0"/>
    <xf numFmtId="165" fontId="0" fillId="2" borderId="1" pivotButton="0" quotePrefix="0" xfId="0"/>
    <xf numFmtId="0" fontId="6" fillId="3" borderId="1" applyAlignment="1" pivotButton="0" quotePrefix="0" xfId="0">
      <alignment vertical="center" wrapText="1"/>
    </xf>
    <xf numFmtId="0" fontId="0" fillId="0" borderId="1" pivotButton="0" quotePrefix="0" xfId="0"/>
    <xf numFmtId="164" fontId="0" fillId="0" borderId="1" pivotButton="0" quotePrefix="0" xfId="0"/>
    <xf numFmtId="0" fontId="2" fillId="4" borderId="1" pivotButton="0" quotePrefix="0" xfId="0"/>
    <xf numFmtId="164" fontId="2" fillId="4" borderId="1" pivotButton="0" quotePrefix="0" xfId="0"/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6" customWidth="1" min="2" max="2"/>
    <col width="22" customWidth="1" min="3" max="3"/>
  </cols>
  <sheetData>
    <row r="1">
      <c r="A1" s="1" t="inlineStr">
        <is>
          <t>PROGRESS CLAIM</t>
        </is>
      </c>
    </row>
    <row r="3">
      <c r="B3" s="2" t="inlineStr">
        <is>
          <t>Claimant (company name and UEN)</t>
        </is>
      </c>
      <c r="C3" s="3" t="inlineStr"/>
    </row>
    <row r="4">
      <c r="B4" s="2" t="inlineStr">
        <is>
          <t>Respondent</t>
        </is>
      </c>
      <c r="C4" s="3" t="inlineStr"/>
    </row>
    <row r="5">
      <c r="B5" s="2" t="inlineStr">
        <is>
          <t>Project (title and site)</t>
        </is>
      </c>
      <c r="C5" s="3" t="inlineStr"/>
    </row>
    <row r="6">
      <c r="B6" s="2" t="inlineStr">
        <is>
          <t>Contract / subcontract reference</t>
        </is>
      </c>
      <c r="C6" s="3" t="inlineStr"/>
    </row>
    <row r="7">
      <c r="B7" s="2" t="inlineStr">
        <is>
          <t>Claim number</t>
        </is>
      </c>
      <c r="C7" s="3" t="inlineStr">
        <is>
          <t>PC 01</t>
        </is>
      </c>
    </row>
    <row r="8">
      <c r="B8" s="2" t="inlineStr">
        <is>
          <t>Claim period (work up to)</t>
        </is>
      </c>
      <c r="C8" s="3" t="inlineStr"/>
    </row>
    <row r="9">
      <c r="B9" s="2" t="inlineStr">
        <is>
          <t>Date of claim</t>
        </is>
      </c>
      <c r="C9" s="3" t="inlineStr"/>
    </row>
    <row r="11">
      <c r="B11" s="4" t="inlineStr">
        <is>
          <t>This is a payment claim made under the Building and Construction Industry Security of Payment Act 2004.</t>
        </is>
      </c>
    </row>
    <row r="12">
      <c r="B12" s="5" t="inlineStr">
        <is>
          <t>(Optional statement. Delete this line if you do not want to use it.)</t>
        </is>
      </c>
    </row>
    <row r="14">
      <c r="B14" s="6" t="inlineStr">
        <is>
          <t>Inputs</t>
        </is>
      </c>
    </row>
    <row r="15">
      <c r="B15" t="inlineStr">
        <is>
          <t>Contract sum (S$)</t>
        </is>
      </c>
      <c r="C15" s="7" t="n"/>
    </row>
    <row r="16">
      <c r="B16" t="inlineStr">
        <is>
          <t>Retention rate</t>
        </is>
      </c>
      <c r="C16" s="8" t="n">
        <v>0.05</v>
      </c>
    </row>
    <row r="17">
      <c r="B17" t="inlineStr">
        <is>
          <t>Retention limit (S$, blank = none)</t>
        </is>
      </c>
      <c r="C17" s="7" t="n"/>
    </row>
    <row r="18">
      <c r="B18" t="inlineStr">
        <is>
          <t>Materials on site (S$, if the contract allows)</t>
        </is>
      </c>
      <c r="C18" s="7" t="n">
        <v>0</v>
      </c>
    </row>
    <row r="19">
      <c r="B19" t="inlineStr">
        <is>
          <t>Previous certified amounts, excl. GST (S$)</t>
        </is>
      </c>
      <c r="C19" s="7" t="n">
        <v>0</v>
      </c>
    </row>
    <row r="20">
      <c r="B20" t="inlineStr">
        <is>
          <t>GST rate (blank if not GST-registered)</t>
        </is>
      </c>
      <c r="C20" s="8" t="n">
        <v>0.09</v>
      </c>
    </row>
    <row r="22">
      <c r="A22" s="9" t="inlineStr">
        <is>
          <t>Line</t>
        </is>
      </c>
      <c r="B22" s="9" t="inlineStr">
        <is>
          <t>Item</t>
        </is>
      </c>
      <c r="C22" s="9" t="inlineStr">
        <is>
          <t>Amount (S$)</t>
        </is>
      </c>
    </row>
    <row r="23">
      <c r="A23" s="10" t="n">
        <v>1</v>
      </c>
      <c r="B23" s="10" t="inlineStr">
        <is>
          <t>Contract sum</t>
        </is>
      </c>
      <c r="C23" s="11">
        <f>C15</f>
        <v/>
      </c>
    </row>
    <row r="24">
      <c r="A24" s="10" t="n">
        <v>2</v>
      </c>
      <c r="B24" s="10" t="inlineStr">
        <is>
          <t>Contract work done to date</t>
        </is>
      </c>
      <c r="C24" s="11">
        <f>'Valuation'!E34</f>
        <v/>
      </c>
    </row>
    <row r="25">
      <c r="A25" s="10" t="n">
        <v>3</v>
      </c>
      <c r="B25" s="10" t="inlineStr">
        <is>
          <t>Variations done to date</t>
        </is>
      </c>
      <c r="C25" s="11">
        <f>'Variations'!E34</f>
        <v/>
      </c>
    </row>
    <row r="26">
      <c r="A26" s="10" t="n">
        <v>4</v>
      </c>
      <c r="B26" s="10" t="inlineStr">
        <is>
          <t>Materials on site</t>
        </is>
      </c>
      <c r="C26" s="11">
        <f>C18</f>
        <v/>
      </c>
    </row>
    <row r="27">
      <c r="A27" s="12" t="n">
        <v>5</v>
      </c>
      <c r="B27" s="12" t="inlineStr">
        <is>
          <t>Gross value to date (2 + 3 + 4)</t>
        </is>
      </c>
      <c r="C27" s="13">
        <f>C24+C25+C26</f>
        <v/>
      </c>
    </row>
    <row r="28">
      <c r="A28" s="10" t="n">
        <v>6</v>
      </c>
      <c r="B28" s="10" t="inlineStr">
        <is>
          <t>Less retention (rate × line 5, up to the limit)</t>
        </is>
      </c>
      <c r="C28" s="11">
        <f>IF(C17="",C27*C16,MIN(C27*C16,C17))</f>
        <v/>
      </c>
    </row>
    <row r="29">
      <c r="A29" s="12" t="n">
        <v>7</v>
      </c>
      <c r="B29" s="12" t="inlineStr">
        <is>
          <t>Net value to date (5 − 6)</t>
        </is>
      </c>
      <c r="C29" s="13">
        <f>C27-C28</f>
        <v/>
      </c>
    </row>
    <row r="30">
      <c r="A30" s="10" t="n">
        <v>8</v>
      </c>
      <c r="B30" s="10" t="inlineStr">
        <is>
          <t>Less previous certified amounts</t>
        </is>
      </c>
      <c r="C30" s="11">
        <f>C19</f>
        <v/>
      </c>
    </row>
    <row r="31">
      <c r="A31" s="12" t="n">
        <v>9</v>
      </c>
      <c r="B31" s="12" t="inlineStr">
        <is>
          <t>Amount claimed this period (7 − 8)</t>
        </is>
      </c>
      <c r="C31" s="13">
        <f>C29-C30</f>
        <v/>
      </c>
    </row>
    <row r="32">
      <c r="A32" s="10" t="n">
        <v>10</v>
      </c>
      <c r="B32" s="10" t="inlineStr">
        <is>
          <t>GST</t>
        </is>
      </c>
      <c r="C32" s="11">
        <f>IF(C20="",0,C31*C20)</f>
        <v/>
      </c>
    </row>
    <row r="33">
      <c r="A33" s="12" t="n">
        <v>11</v>
      </c>
      <c r="B33" s="12" t="inlineStr">
        <is>
          <t>Total amount claimed this period (9 + 10)</t>
        </is>
      </c>
      <c r="C33" s="13">
        <f>C31+C32</f>
        <v/>
      </c>
    </row>
    <row r="35">
      <c r="B35" s="5" t="inlineStr">
        <is>
          <t>Yellow cells are inputs. Everything else is calculated.</t>
        </is>
      </c>
    </row>
    <row r="36">
      <c r="B36" s="5" t="inlineStr">
        <is>
          <t>Retention, payment terms and GST treatment come from your contract; check them before you send the claim.</t>
        </is>
      </c>
    </row>
    <row r="37">
      <c r="B37" s="5" t="inlineStr">
        <is>
          <t>This template is general information, not legal advice. Check the current SOP Act and take legal advice on disputes.</t>
        </is>
      </c>
    </row>
    <row r="38">
      <c r="B38" s="5" t="inlineStr">
        <is>
          <t>Template by CCorex (ccorex.com). DeepTrack prepares numbered progress claims with retention, 9% GST and a PDF certificate.</t>
        </is>
      </c>
    </row>
  </sheetData>
  <mergeCells count="5">
    <mergeCell ref="B38:C38"/>
    <mergeCell ref="B11:C11"/>
    <mergeCell ref="B37:C37"/>
    <mergeCell ref="B36:C36"/>
    <mergeCell ref="B35:C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18" customWidth="1" min="3" max="3"/>
    <col width="11" customWidth="1" min="4" max="4"/>
    <col width="18" customWidth="1" min="5" max="5"/>
    <col width="18" customWidth="1" min="6" max="6"/>
    <col width="16" customWidth="1" min="7" max="7"/>
    <col width="30" customWidth="1" min="8" max="8"/>
  </cols>
  <sheetData>
    <row r="1">
      <c r="A1" s="14" t="inlineStr">
        <is>
          <t>Valuation sheet (contract work)</t>
        </is>
      </c>
    </row>
    <row r="3">
      <c r="A3" s="9" t="inlineStr">
        <is>
          <t>Item</t>
        </is>
      </c>
      <c r="B3" s="9" t="inlineStr">
        <is>
          <t>Description</t>
        </is>
      </c>
      <c r="C3" s="9" t="inlineStr">
        <is>
          <t>Contract amount (S$)</t>
        </is>
      </c>
      <c r="D3" s="9" t="inlineStr">
        <is>
          <t>% to date</t>
        </is>
      </c>
      <c r="E3" s="9" t="inlineStr">
        <is>
          <t>Value to date (S$)</t>
        </is>
      </c>
      <c r="F3" s="9" t="inlineStr">
        <is>
          <t>Previously claimed (S$)</t>
        </is>
      </c>
      <c r="G3" s="9" t="inlineStr">
        <is>
          <t>This period (S$)</t>
        </is>
      </c>
      <c r="H3" s="9" t="inlineStr">
        <is>
          <t>Remarks</t>
        </is>
      </c>
    </row>
    <row r="4">
      <c r="A4" s="3" t="n"/>
      <c r="B4" s="3" t="n"/>
      <c r="C4" s="7" t="n"/>
      <c r="D4" s="8" t="n"/>
      <c r="E4" s="11">
        <f>IF(C4="","",C4*D4)</f>
        <v/>
      </c>
      <c r="F4" s="7" t="n"/>
      <c r="G4" s="11">
        <f>IF(E4="","",E4-F4)</f>
        <v/>
      </c>
      <c r="H4" s="3" t="n"/>
    </row>
    <row r="5">
      <c r="A5" s="3" t="n"/>
      <c r="B5" s="3" t="n"/>
      <c r="C5" s="7" t="n"/>
      <c r="D5" s="8" t="n"/>
      <c r="E5" s="11">
        <f>IF(C5="","",C5*D5)</f>
        <v/>
      </c>
      <c r="F5" s="7" t="n"/>
      <c r="G5" s="11">
        <f>IF(E5="","",E5-F5)</f>
        <v/>
      </c>
      <c r="H5" s="3" t="n"/>
    </row>
    <row r="6">
      <c r="A6" s="3" t="n"/>
      <c r="B6" s="3" t="n"/>
      <c r="C6" s="7" t="n"/>
      <c r="D6" s="8" t="n"/>
      <c r="E6" s="11">
        <f>IF(C6="","",C6*D6)</f>
        <v/>
      </c>
      <c r="F6" s="7" t="n"/>
      <c r="G6" s="11">
        <f>IF(E6="","",E6-F6)</f>
        <v/>
      </c>
      <c r="H6" s="3" t="n"/>
    </row>
    <row r="7">
      <c r="A7" s="3" t="n"/>
      <c r="B7" s="3" t="n"/>
      <c r="C7" s="7" t="n"/>
      <c r="D7" s="8" t="n"/>
      <c r="E7" s="11">
        <f>IF(C7="","",C7*D7)</f>
        <v/>
      </c>
      <c r="F7" s="7" t="n"/>
      <c r="G7" s="11">
        <f>IF(E7="","",E7-F7)</f>
        <v/>
      </c>
      <c r="H7" s="3" t="n"/>
    </row>
    <row r="8">
      <c r="A8" s="3" t="n"/>
      <c r="B8" s="3" t="n"/>
      <c r="C8" s="7" t="n"/>
      <c r="D8" s="8" t="n"/>
      <c r="E8" s="11">
        <f>IF(C8="","",C8*D8)</f>
        <v/>
      </c>
      <c r="F8" s="7" t="n"/>
      <c r="G8" s="11">
        <f>IF(E8="","",E8-F8)</f>
        <v/>
      </c>
      <c r="H8" s="3" t="n"/>
    </row>
    <row r="9">
      <c r="A9" s="3" t="n"/>
      <c r="B9" s="3" t="n"/>
      <c r="C9" s="7" t="n"/>
      <c r="D9" s="8" t="n"/>
      <c r="E9" s="11">
        <f>IF(C9="","",C9*D9)</f>
        <v/>
      </c>
      <c r="F9" s="7" t="n"/>
      <c r="G9" s="11">
        <f>IF(E9="","",E9-F9)</f>
        <v/>
      </c>
      <c r="H9" s="3" t="n"/>
    </row>
    <row r="10">
      <c r="A10" s="3" t="n"/>
      <c r="B10" s="3" t="n"/>
      <c r="C10" s="7" t="n"/>
      <c r="D10" s="8" t="n"/>
      <c r="E10" s="11">
        <f>IF(C10="","",C10*D10)</f>
        <v/>
      </c>
      <c r="F10" s="7" t="n"/>
      <c r="G10" s="11">
        <f>IF(E10="","",E10-F10)</f>
        <v/>
      </c>
      <c r="H10" s="3" t="n"/>
    </row>
    <row r="11">
      <c r="A11" s="3" t="n"/>
      <c r="B11" s="3" t="n"/>
      <c r="C11" s="7" t="n"/>
      <c r="D11" s="8" t="n"/>
      <c r="E11" s="11">
        <f>IF(C11="","",C11*D11)</f>
        <v/>
      </c>
      <c r="F11" s="7" t="n"/>
      <c r="G11" s="11">
        <f>IF(E11="","",E11-F11)</f>
        <v/>
      </c>
      <c r="H11" s="3" t="n"/>
    </row>
    <row r="12">
      <c r="A12" s="3" t="n"/>
      <c r="B12" s="3" t="n"/>
      <c r="C12" s="7" t="n"/>
      <c r="D12" s="8" t="n"/>
      <c r="E12" s="11">
        <f>IF(C12="","",C12*D12)</f>
        <v/>
      </c>
      <c r="F12" s="7" t="n"/>
      <c r="G12" s="11">
        <f>IF(E12="","",E12-F12)</f>
        <v/>
      </c>
      <c r="H12" s="3" t="n"/>
    </row>
    <row r="13">
      <c r="A13" s="3" t="n"/>
      <c r="B13" s="3" t="n"/>
      <c r="C13" s="7" t="n"/>
      <c r="D13" s="8" t="n"/>
      <c r="E13" s="11">
        <f>IF(C13="","",C13*D13)</f>
        <v/>
      </c>
      <c r="F13" s="7" t="n"/>
      <c r="G13" s="11">
        <f>IF(E13="","",E13-F13)</f>
        <v/>
      </c>
      <c r="H13" s="3" t="n"/>
    </row>
    <row r="14">
      <c r="A14" s="3" t="n"/>
      <c r="B14" s="3" t="n"/>
      <c r="C14" s="7" t="n"/>
      <c r="D14" s="8" t="n"/>
      <c r="E14" s="11">
        <f>IF(C14="","",C14*D14)</f>
        <v/>
      </c>
      <c r="F14" s="7" t="n"/>
      <c r="G14" s="11">
        <f>IF(E14="","",E14-F14)</f>
        <v/>
      </c>
      <c r="H14" s="3" t="n"/>
    </row>
    <row r="15">
      <c r="A15" s="3" t="n"/>
      <c r="B15" s="3" t="n"/>
      <c r="C15" s="7" t="n"/>
      <c r="D15" s="8" t="n"/>
      <c r="E15" s="11">
        <f>IF(C15="","",C15*D15)</f>
        <v/>
      </c>
      <c r="F15" s="7" t="n"/>
      <c r="G15" s="11">
        <f>IF(E15="","",E15-F15)</f>
        <v/>
      </c>
      <c r="H15" s="3" t="n"/>
    </row>
    <row r="16">
      <c r="A16" s="3" t="n"/>
      <c r="B16" s="3" t="n"/>
      <c r="C16" s="7" t="n"/>
      <c r="D16" s="8" t="n"/>
      <c r="E16" s="11">
        <f>IF(C16="","",C16*D16)</f>
        <v/>
      </c>
      <c r="F16" s="7" t="n"/>
      <c r="G16" s="11">
        <f>IF(E16="","",E16-F16)</f>
        <v/>
      </c>
      <c r="H16" s="3" t="n"/>
    </row>
    <row r="17">
      <c r="A17" s="3" t="n"/>
      <c r="B17" s="3" t="n"/>
      <c r="C17" s="7" t="n"/>
      <c r="D17" s="8" t="n"/>
      <c r="E17" s="11">
        <f>IF(C17="","",C17*D17)</f>
        <v/>
      </c>
      <c r="F17" s="7" t="n"/>
      <c r="G17" s="11">
        <f>IF(E17="","",E17-F17)</f>
        <v/>
      </c>
      <c r="H17" s="3" t="n"/>
    </row>
    <row r="18">
      <c r="A18" s="3" t="n"/>
      <c r="B18" s="3" t="n"/>
      <c r="C18" s="7" t="n"/>
      <c r="D18" s="8" t="n"/>
      <c r="E18" s="11">
        <f>IF(C18="","",C18*D18)</f>
        <v/>
      </c>
      <c r="F18" s="7" t="n"/>
      <c r="G18" s="11">
        <f>IF(E18="","",E18-F18)</f>
        <v/>
      </c>
      <c r="H18" s="3" t="n"/>
    </row>
    <row r="19">
      <c r="A19" s="3" t="n"/>
      <c r="B19" s="3" t="n"/>
      <c r="C19" s="7" t="n"/>
      <c r="D19" s="8" t="n"/>
      <c r="E19" s="11">
        <f>IF(C19="","",C19*D19)</f>
        <v/>
      </c>
      <c r="F19" s="7" t="n"/>
      <c r="G19" s="11">
        <f>IF(E19="","",E19-F19)</f>
        <v/>
      </c>
      <c r="H19" s="3" t="n"/>
    </row>
    <row r="20">
      <c r="A20" s="3" t="n"/>
      <c r="B20" s="3" t="n"/>
      <c r="C20" s="7" t="n"/>
      <c r="D20" s="8" t="n"/>
      <c r="E20" s="11">
        <f>IF(C20="","",C20*D20)</f>
        <v/>
      </c>
      <c r="F20" s="7" t="n"/>
      <c r="G20" s="11">
        <f>IF(E20="","",E20-F20)</f>
        <v/>
      </c>
      <c r="H20" s="3" t="n"/>
    </row>
    <row r="21">
      <c r="A21" s="3" t="n"/>
      <c r="B21" s="3" t="n"/>
      <c r="C21" s="7" t="n"/>
      <c r="D21" s="8" t="n"/>
      <c r="E21" s="11">
        <f>IF(C21="","",C21*D21)</f>
        <v/>
      </c>
      <c r="F21" s="7" t="n"/>
      <c r="G21" s="11">
        <f>IF(E21="","",E21-F21)</f>
        <v/>
      </c>
      <c r="H21" s="3" t="n"/>
    </row>
    <row r="22">
      <c r="A22" s="3" t="n"/>
      <c r="B22" s="3" t="n"/>
      <c r="C22" s="7" t="n"/>
      <c r="D22" s="8" t="n"/>
      <c r="E22" s="11">
        <f>IF(C22="","",C22*D22)</f>
        <v/>
      </c>
      <c r="F22" s="7" t="n"/>
      <c r="G22" s="11">
        <f>IF(E22="","",E22-F22)</f>
        <v/>
      </c>
      <c r="H22" s="3" t="n"/>
    </row>
    <row r="23">
      <c r="A23" s="3" t="n"/>
      <c r="B23" s="3" t="n"/>
      <c r="C23" s="7" t="n"/>
      <c r="D23" s="8" t="n"/>
      <c r="E23" s="11">
        <f>IF(C23="","",C23*D23)</f>
        <v/>
      </c>
      <c r="F23" s="7" t="n"/>
      <c r="G23" s="11">
        <f>IF(E23="","",E23-F23)</f>
        <v/>
      </c>
      <c r="H23" s="3" t="n"/>
    </row>
    <row r="24">
      <c r="A24" s="3" t="n"/>
      <c r="B24" s="3" t="n"/>
      <c r="C24" s="7" t="n"/>
      <c r="D24" s="8" t="n"/>
      <c r="E24" s="11">
        <f>IF(C24="","",C24*D24)</f>
        <v/>
      </c>
      <c r="F24" s="7" t="n"/>
      <c r="G24" s="11">
        <f>IF(E24="","",E24-F24)</f>
        <v/>
      </c>
      <c r="H24" s="3" t="n"/>
    </row>
    <row r="25">
      <c r="A25" s="3" t="n"/>
      <c r="B25" s="3" t="n"/>
      <c r="C25" s="7" t="n"/>
      <c r="D25" s="8" t="n"/>
      <c r="E25" s="11">
        <f>IF(C25="","",C25*D25)</f>
        <v/>
      </c>
      <c r="F25" s="7" t="n"/>
      <c r="G25" s="11">
        <f>IF(E25="","",E25-F25)</f>
        <v/>
      </c>
      <c r="H25" s="3" t="n"/>
    </row>
    <row r="26">
      <c r="A26" s="3" t="n"/>
      <c r="B26" s="3" t="n"/>
      <c r="C26" s="7" t="n"/>
      <c r="D26" s="8" t="n"/>
      <c r="E26" s="11">
        <f>IF(C26="","",C26*D26)</f>
        <v/>
      </c>
      <c r="F26" s="7" t="n"/>
      <c r="G26" s="11">
        <f>IF(E26="","",E26-F26)</f>
        <v/>
      </c>
      <c r="H26" s="3" t="n"/>
    </row>
    <row r="27">
      <c r="A27" s="3" t="n"/>
      <c r="B27" s="3" t="n"/>
      <c r="C27" s="7" t="n"/>
      <c r="D27" s="8" t="n"/>
      <c r="E27" s="11">
        <f>IF(C27="","",C27*D27)</f>
        <v/>
      </c>
      <c r="F27" s="7" t="n"/>
      <c r="G27" s="11">
        <f>IF(E27="","",E27-F27)</f>
        <v/>
      </c>
      <c r="H27" s="3" t="n"/>
    </row>
    <row r="28">
      <c r="A28" s="3" t="n"/>
      <c r="B28" s="3" t="n"/>
      <c r="C28" s="7" t="n"/>
      <c r="D28" s="8" t="n"/>
      <c r="E28" s="11">
        <f>IF(C28="","",C28*D28)</f>
        <v/>
      </c>
      <c r="F28" s="7" t="n"/>
      <c r="G28" s="11">
        <f>IF(E28="","",E28-F28)</f>
        <v/>
      </c>
      <c r="H28" s="3" t="n"/>
    </row>
    <row r="29">
      <c r="A29" s="3" t="n"/>
      <c r="B29" s="3" t="n"/>
      <c r="C29" s="7" t="n"/>
      <c r="D29" s="8" t="n"/>
      <c r="E29" s="11">
        <f>IF(C29="","",C29*D29)</f>
        <v/>
      </c>
      <c r="F29" s="7" t="n"/>
      <c r="G29" s="11">
        <f>IF(E29="","",E29-F29)</f>
        <v/>
      </c>
      <c r="H29" s="3" t="n"/>
    </row>
    <row r="30">
      <c r="A30" s="3" t="n"/>
      <c r="B30" s="3" t="n"/>
      <c r="C30" s="7" t="n"/>
      <c r="D30" s="8" t="n"/>
      <c r="E30" s="11">
        <f>IF(C30="","",C30*D30)</f>
        <v/>
      </c>
      <c r="F30" s="7" t="n"/>
      <c r="G30" s="11">
        <f>IF(E30="","",E30-F30)</f>
        <v/>
      </c>
      <c r="H30" s="3" t="n"/>
    </row>
    <row r="31">
      <c r="A31" s="3" t="n"/>
      <c r="B31" s="3" t="n"/>
      <c r="C31" s="7" t="n"/>
      <c r="D31" s="8" t="n"/>
      <c r="E31" s="11">
        <f>IF(C31="","",C31*D31)</f>
        <v/>
      </c>
      <c r="F31" s="7" t="n"/>
      <c r="G31" s="11">
        <f>IF(E31="","",E31-F31)</f>
        <v/>
      </c>
      <c r="H31" s="3" t="n"/>
    </row>
    <row r="32">
      <c r="A32" s="3" t="n"/>
      <c r="B32" s="3" t="n"/>
      <c r="C32" s="7" t="n"/>
      <c r="D32" s="8" t="n"/>
      <c r="E32" s="11">
        <f>IF(C32="","",C32*D32)</f>
        <v/>
      </c>
      <c r="F32" s="7" t="n"/>
      <c r="G32" s="11">
        <f>IF(E32="","",E32-F32)</f>
        <v/>
      </c>
      <c r="H32" s="3" t="n"/>
    </row>
    <row r="33">
      <c r="A33" s="3" t="n"/>
      <c r="B33" s="3" t="n"/>
      <c r="C33" s="7" t="n"/>
      <c r="D33" s="8" t="n"/>
      <c r="E33" s="11">
        <f>IF(C33="","",C33*D33)</f>
        <v/>
      </c>
      <c r="F33" s="7" t="n"/>
      <c r="G33" s="11">
        <f>IF(E33="","",E33-F33)</f>
        <v/>
      </c>
      <c r="H33" s="3" t="n"/>
    </row>
    <row r="34">
      <c r="B34" s="2" t="inlineStr">
        <is>
          <t>Total</t>
        </is>
      </c>
      <c r="C34" s="13">
        <f>SUM(C4:C33)</f>
        <v/>
      </c>
      <c r="E34" s="13">
        <f>SUM(E4:E33)</f>
        <v/>
      </c>
      <c r="F34" s="13">
        <f>SUM(F4:F33)</f>
        <v/>
      </c>
      <c r="G34" s="13">
        <f>SUM(G4:G33)</f>
        <v/>
      </c>
    </row>
    <row r="36">
      <c r="B36" s="15" t="inlineStr">
        <is>
          <t>Tip: enter % complete (e.g. 40%), or overwrite column E with quantity × rate.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16" customWidth="1" min="3" max="3"/>
    <col width="11" customWidth="1" min="4" max="4"/>
    <col width="18" customWidth="1" min="5" max="5"/>
    <col width="18" customWidth="1" min="6" max="6"/>
    <col width="16" customWidth="1" min="7" max="7"/>
    <col width="14" customWidth="1" min="8" max="8"/>
    <col width="26" customWidth="1" min="9" max="9"/>
  </cols>
  <sheetData>
    <row r="1">
      <c r="A1" s="14" t="inlineStr">
        <is>
          <t>Variations</t>
        </is>
      </c>
    </row>
    <row r="3">
      <c r="A3" s="9" t="inlineStr">
        <is>
          <t>VO ref</t>
        </is>
      </c>
      <c r="B3" s="9" t="inlineStr">
        <is>
          <t>Description</t>
        </is>
      </c>
      <c r="C3" s="9" t="inlineStr">
        <is>
          <t>VO amount (S$)</t>
        </is>
      </c>
      <c r="D3" s="9" t="inlineStr">
        <is>
          <t>% to date</t>
        </is>
      </c>
      <c r="E3" s="9" t="inlineStr">
        <is>
          <t>Value to date (S$)</t>
        </is>
      </c>
      <c r="F3" s="9" t="inlineStr">
        <is>
          <t>Previously claimed (S$)</t>
        </is>
      </c>
      <c r="G3" s="9" t="inlineStr">
        <is>
          <t>This period (S$)</t>
        </is>
      </c>
      <c r="H3" s="9" t="inlineStr">
        <is>
          <t>Status</t>
        </is>
      </c>
      <c r="I3" s="9" t="inlineStr">
        <is>
          <t>Remarks</t>
        </is>
      </c>
    </row>
    <row r="4">
      <c r="A4" s="3" t="n"/>
      <c r="B4" s="3" t="n"/>
      <c r="C4" s="7" t="n"/>
      <c r="D4" s="8" t="n"/>
      <c r="E4" s="11">
        <f>IF(C4="","",C4*D4)</f>
        <v/>
      </c>
      <c r="F4" s="7" t="n"/>
      <c r="G4" s="11">
        <f>IF(E4="","",E4-F4)</f>
        <v/>
      </c>
      <c r="H4" s="3" t="n"/>
      <c r="I4" s="3" t="n"/>
    </row>
    <row r="5">
      <c r="A5" s="3" t="n"/>
      <c r="B5" s="3" t="n"/>
      <c r="C5" s="7" t="n"/>
      <c r="D5" s="8" t="n"/>
      <c r="E5" s="11">
        <f>IF(C5="","",C5*D5)</f>
        <v/>
      </c>
      <c r="F5" s="7" t="n"/>
      <c r="G5" s="11">
        <f>IF(E5="","",E5-F5)</f>
        <v/>
      </c>
      <c r="H5" s="3" t="n"/>
      <c r="I5" s="3" t="n"/>
    </row>
    <row r="6">
      <c r="A6" s="3" t="n"/>
      <c r="B6" s="3" t="n"/>
      <c r="C6" s="7" t="n"/>
      <c r="D6" s="8" t="n"/>
      <c r="E6" s="11">
        <f>IF(C6="","",C6*D6)</f>
        <v/>
      </c>
      <c r="F6" s="7" t="n"/>
      <c r="G6" s="11">
        <f>IF(E6="","",E6-F6)</f>
        <v/>
      </c>
      <c r="H6" s="3" t="n"/>
      <c r="I6" s="3" t="n"/>
    </row>
    <row r="7">
      <c r="A7" s="3" t="n"/>
      <c r="B7" s="3" t="n"/>
      <c r="C7" s="7" t="n"/>
      <c r="D7" s="8" t="n"/>
      <c r="E7" s="11">
        <f>IF(C7="","",C7*D7)</f>
        <v/>
      </c>
      <c r="F7" s="7" t="n"/>
      <c r="G7" s="11">
        <f>IF(E7="","",E7-F7)</f>
        <v/>
      </c>
      <c r="H7" s="3" t="n"/>
      <c r="I7" s="3" t="n"/>
    </row>
    <row r="8">
      <c r="A8" s="3" t="n"/>
      <c r="B8" s="3" t="n"/>
      <c r="C8" s="7" t="n"/>
      <c r="D8" s="8" t="n"/>
      <c r="E8" s="11">
        <f>IF(C8="","",C8*D8)</f>
        <v/>
      </c>
      <c r="F8" s="7" t="n"/>
      <c r="G8" s="11">
        <f>IF(E8="","",E8-F8)</f>
        <v/>
      </c>
      <c r="H8" s="3" t="n"/>
      <c r="I8" s="3" t="n"/>
    </row>
    <row r="9">
      <c r="A9" s="3" t="n"/>
      <c r="B9" s="3" t="n"/>
      <c r="C9" s="7" t="n"/>
      <c r="D9" s="8" t="n"/>
      <c r="E9" s="11">
        <f>IF(C9="","",C9*D9)</f>
        <v/>
      </c>
      <c r="F9" s="7" t="n"/>
      <c r="G9" s="11">
        <f>IF(E9="","",E9-F9)</f>
        <v/>
      </c>
      <c r="H9" s="3" t="n"/>
      <c r="I9" s="3" t="n"/>
    </row>
    <row r="10">
      <c r="A10" s="3" t="n"/>
      <c r="B10" s="3" t="n"/>
      <c r="C10" s="7" t="n"/>
      <c r="D10" s="8" t="n"/>
      <c r="E10" s="11">
        <f>IF(C10="","",C10*D10)</f>
        <v/>
      </c>
      <c r="F10" s="7" t="n"/>
      <c r="G10" s="11">
        <f>IF(E10="","",E10-F10)</f>
        <v/>
      </c>
      <c r="H10" s="3" t="n"/>
      <c r="I10" s="3" t="n"/>
    </row>
    <row r="11">
      <c r="A11" s="3" t="n"/>
      <c r="B11" s="3" t="n"/>
      <c r="C11" s="7" t="n"/>
      <c r="D11" s="8" t="n"/>
      <c r="E11" s="11">
        <f>IF(C11="","",C11*D11)</f>
        <v/>
      </c>
      <c r="F11" s="7" t="n"/>
      <c r="G11" s="11">
        <f>IF(E11="","",E11-F11)</f>
        <v/>
      </c>
      <c r="H11" s="3" t="n"/>
      <c r="I11" s="3" t="n"/>
    </row>
    <row r="12">
      <c r="A12" s="3" t="n"/>
      <c r="B12" s="3" t="n"/>
      <c r="C12" s="7" t="n"/>
      <c r="D12" s="8" t="n"/>
      <c r="E12" s="11">
        <f>IF(C12="","",C12*D12)</f>
        <v/>
      </c>
      <c r="F12" s="7" t="n"/>
      <c r="G12" s="11">
        <f>IF(E12="","",E12-F12)</f>
        <v/>
      </c>
      <c r="H12" s="3" t="n"/>
      <c r="I12" s="3" t="n"/>
    </row>
    <row r="13">
      <c r="A13" s="3" t="n"/>
      <c r="B13" s="3" t="n"/>
      <c r="C13" s="7" t="n"/>
      <c r="D13" s="8" t="n"/>
      <c r="E13" s="11">
        <f>IF(C13="","",C13*D13)</f>
        <v/>
      </c>
      <c r="F13" s="7" t="n"/>
      <c r="G13" s="11">
        <f>IF(E13="","",E13-F13)</f>
        <v/>
      </c>
      <c r="H13" s="3" t="n"/>
      <c r="I13" s="3" t="n"/>
    </row>
    <row r="14">
      <c r="A14" s="3" t="n"/>
      <c r="B14" s="3" t="n"/>
      <c r="C14" s="7" t="n"/>
      <c r="D14" s="8" t="n"/>
      <c r="E14" s="11">
        <f>IF(C14="","",C14*D14)</f>
        <v/>
      </c>
      <c r="F14" s="7" t="n"/>
      <c r="G14" s="11">
        <f>IF(E14="","",E14-F14)</f>
        <v/>
      </c>
      <c r="H14" s="3" t="n"/>
      <c r="I14" s="3" t="n"/>
    </row>
    <row r="15">
      <c r="A15" s="3" t="n"/>
      <c r="B15" s="3" t="n"/>
      <c r="C15" s="7" t="n"/>
      <c r="D15" s="8" t="n"/>
      <c r="E15" s="11">
        <f>IF(C15="","",C15*D15)</f>
        <v/>
      </c>
      <c r="F15" s="7" t="n"/>
      <c r="G15" s="11">
        <f>IF(E15="","",E15-F15)</f>
        <v/>
      </c>
      <c r="H15" s="3" t="n"/>
      <c r="I15" s="3" t="n"/>
    </row>
    <row r="16">
      <c r="A16" s="3" t="n"/>
      <c r="B16" s="3" t="n"/>
      <c r="C16" s="7" t="n"/>
      <c r="D16" s="8" t="n"/>
      <c r="E16" s="11">
        <f>IF(C16="","",C16*D16)</f>
        <v/>
      </c>
      <c r="F16" s="7" t="n"/>
      <c r="G16" s="11">
        <f>IF(E16="","",E16-F16)</f>
        <v/>
      </c>
      <c r="H16" s="3" t="n"/>
      <c r="I16" s="3" t="n"/>
    </row>
    <row r="17">
      <c r="A17" s="3" t="n"/>
      <c r="B17" s="3" t="n"/>
      <c r="C17" s="7" t="n"/>
      <c r="D17" s="8" t="n"/>
      <c r="E17" s="11">
        <f>IF(C17="","",C17*D17)</f>
        <v/>
      </c>
      <c r="F17" s="7" t="n"/>
      <c r="G17" s="11">
        <f>IF(E17="","",E17-F17)</f>
        <v/>
      </c>
      <c r="H17" s="3" t="n"/>
      <c r="I17" s="3" t="n"/>
    </row>
    <row r="18">
      <c r="A18" s="3" t="n"/>
      <c r="B18" s="3" t="n"/>
      <c r="C18" s="7" t="n"/>
      <c r="D18" s="8" t="n"/>
      <c r="E18" s="11">
        <f>IF(C18="","",C18*D18)</f>
        <v/>
      </c>
      <c r="F18" s="7" t="n"/>
      <c r="G18" s="11">
        <f>IF(E18="","",E18-F18)</f>
        <v/>
      </c>
      <c r="H18" s="3" t="n"/>
      <c r="I18" s="3" t="n"/>
    </row>
    <row r="19">
      <c r="A19" s="3" t="n"/>
      <c r="B19" s="3" t="n"/>
      <c r="C19" s="7" t="n"/>
      <c r="D19" s="8" t="n"/>
      <c r="E19" s="11">
        <f>IF(C19="","",C19*D19)</f>
        <v/>
      </c>
      <c r="F19" s="7" t="n"/>
      <c r="G19" s="11">
        <f>IF(E19="","",E19-F19)</f>
        <v/>
      </c>
      <c r="H19" s="3" t="n"/>
      <c r="I19" s="3" t="n"/>
    </row>
    <row r="20">
      <c r="A20" s="3" t="n"/>
      <c r="B20" s="3" t="n"/>
      <c r="C20" s="7" t="n"/>
      <c r="D20" s="8" t="n"/>
      <c r="E20" s="11">
        <f>IF(C20="","",C20*D20)</f>
        <v/>
      </c>
      <c r="F20" s="7" t="n"/>
      <c r="G20" s="11">
        <f>IF(E20="","",E20-F20)</f>
        <v/>
      </c>
      <c r="H20" s="3" t="n"/>
      <c r="I20" s="3" t="n"/>
    </row>
    <row r="21">
      <c r="A21" s="3" t="n"/>
      <c r="B21" s="3" t="n"/>
      <c r="C21" s="7" t="n"/>
      <c r="D21" s="8" t="n"/>
      <c r="E21" s="11">
        <f>IF(C21="","",C21*D21)</f>
        <v/>
      </c>
      <c r="F21" s="7" t="n"/>
      <c r="G21" s="11">
        <f>IF(E21="","",E21-F21)</f>
        <v/>
      </c>
      <c r="H21" s="3" t="n"/>
      <c r="I21" s="3" t="n"/>
    </row>
    <row r="22">
      <c r="A22" s="3" t="n"/>
      <c r="B22" s="3" t="n"/>
      <c r="C22" s="7" t="n"/>
      <c r="D22" s="8" t="n"/>
      <c r="E22" s="11">
        <f>IF(C22="","",C22*D22)</f>
        <v/>
      </c>
      <c r="F22" s="7" t="n"/>
      <c r="G22" s="11">
        <f>IF(E22="","",E22-F22)</f>
        <v/>
      </c>
      <c r="H22" s="3" t="n"/>
      <c r="I22" s="3" t="n"/>
    </row>
    <row r="23">
      <c r="A23" s="3" t="n"/>
      <c r="B23" s="3" t="n"/>
      <c r="C23" s="7" t="n"/>
      <c r="D23" s="8" t="n"/>
      <c r="E23" s="11">
        <f>IF(C23="","",C23*D23)</f>
        <v/>
      </c>
      <c r="F23" s="7" t="n"/>
      <c r="G23" s="11">
        <f>IF(E23="","",E23-F23)</f>
        <v/>
      </c>
      <c r="H23" s="3" t="n"/>
      <c r="I23" s="3" t="n"/>
    </row>
    <row r="24">
      <c r="A24" s="3" t="n"/>
      <c r="B24" s="3" t="n"/>
      <c r="C24" s="7" t="n"/>
      <c r="D24" s="8" t="n"/>
      <c r="E24" s="11">
        <f>IF(C24="","",C24*D24)</f>
        <v/>
      </c>
      <c r="F24" s="7" t="n"/>
      <c r="G24" s="11">
        <f>IF(E24="","",E24-F24)</f>
        <v/>
      </c>
      <c r="H24" s="3" t="n"/>
      <c r="I24" s="3" t="n"/>
    </row>
    <row r="25">
      <c r="A25" s="3" t="n"/>
      <c r="B25" s="3" t="n"/>
      <c r="C25" s="7" t="n"/>
      <c r="D25" s="8" t="n"/>
      <c r="E25" s="11">
        <f>IF(C25="","",C25*D25)</f>
        <v/>
      </c>
      <c r="F25" s="7" t="n"/>
      <c r="G25" s="11">
        <f>IF(E25="","",E25-F25)</f>
        <v/>
      </c>
      <c r="H25" s="3" t="n"/>
      <c r="I25" s="3" t="n"/>
    </row>
    <row r="26">
      <c r="A26" s="3" t="n"/>
      <c r="B26" s="3" t="n"/>
      <c r="C26" s="7" t="n"/>
      <c r="D26" s="8" t="n"/>
      <c r="E26" s="11">
        <f>IF(C26="","",C26*D26)</f>
        <v/>
      </c>
      <c r="F26" s="7" t="n"/>
      <c r="G26" s="11">
        <f>IF(E26="","",E26-F26)</f>
        <v/>
      </c>
      <c r="H26" s="3" t="n"/>
      <c r="I26" s="3" t="n"/>
    </row>
    <row r="27">
      <c r="A27" s="3" t="n"/>
      <c r="B27" s="3" t="n"/>
      <c r="C27" s="7" t="n"/>
      <c r="D27" s="8" t="n"/>
      <c r="E27" s="11">
        <f>IF(C27="","",C27*D27)</f>
        <v/>
      </c>
      <c r="F27" s="7" t="n"/>
      <c r="G27" s="11">
        <f>IF(E27="","",E27-F27)</f>
        <v/>
      </c>
      <c r="H27" s="3" t="n"/>
      <c r="I27" s="3" t="n"/>
    </row>
    <row r="28">
      <c r="A28" s="3" t="n"/>
      <c r="B28" s="3" t="n"/>
      <c r="C28" s="7" t="n"/>
      <c r="D28" s="8" t="n"/>
      <c r="E28" s="11">
        <f>IF(C28="","",C28*D28)</f>
        <v/>
      </c>
      <c r="F28" s="7" t="n"/>
      <c r="G28" s="11">
        <f>IF(E28="","",E28-F28)</f>
        <v/>
      </c>
      <c r="H28" s="3" t="n"/>
      <c r="I28" s="3" t="n"/>
    </row>
    <row r="29">
      <c r="A29" s="3" t="n"/>
      <c r="B29" s="3" t="n"/>
      <c r="C29" s="7" t="n"/>
      <c r="D29" s="8" t="n"/>
      <c r="E29" s="11">
        <f>IF(C29="","",C29*D29)</f>
        <v/>
      </c>
      <c r="F29" s="7" t="n"/>
      <c r="G29" s="11">
        <f>IF(E29="","",E29-F29)</f>
        <v/>
      </c>
      <c r="H29" s="3" t="n"/>
      <c r="I29" s="3" t="n"/>
    </row>
    <row r="30">
      <c r="A30" s="3" t="n"/>
      <c r="B30" s="3" t="n"/>
      <c r="C30" s="7" t="n"/>
      <c r="D30" s="8" t="n"/>
      <c r="E30" s="11">
        <f>IF(C30="","",C30*D30)</f>
        <v/>
      </c>
      <c r="F30" s="7" t="n"/>
      <c r="G30" s="11">
        <f>IF(E30="","",E30-F30)</f>
        <v/>
      </c>
      <c r="H30" s="3" t="n"/>
      <c r="I30" s="3" t="n"/>
    </row>
    <row r="31">
      <c r="A31" s="3" t="n"/>
      <c r="B31" s="3" t="n"/>
      <c r="C31" s="7" t="n"/>
      <c r="D31" s="8" t="n"/>
      <c r="E31" s="11">
        <f>IF(C31="","",C31*D31)</f>
        <v/>
      </c>
      <c r="F31" s="7" t="n"/>
      <c r="G31" s="11">
        <f>IF(E31="","",E31-F31)</f>
        <v/>
      </c>
      <c r="H31" s="3" t="n"/>
      <c r="I31" s="3" t="n"/>
    </row>
    <row r="32">
      <c r="A32" s="3" t="n"/>
      <c r="B32" s="3" t="n"/>
      <c r="C32" s="7" t="n"/>
      <c r="D32" s="8" t="n"/>
      <c r="E32" s="11">
        <f>IF(C32="","",C32*D32)</f>
        <v/>
      </c>
      <c r="F32" s="7" t="n"/>
      <c r="G32" s="11">
        <f>IF(E32="","",E32-F32)</f>
        <v/>
      </c>
      <c r="H32" s="3" t="n"/>
      <c r="I32" s="3" t="n"/>
    </row>
    <row r="33">
      <c r="A33" s="3" t="n"/>
      <c r="B33" s="3" t="n"/>
      <c r="C33" s="7" t="n"/>
      <c r="D33" s="8" t="n"/>
      <c r="E33" s="11">
        <f>IF(C33="","",C33*D33)</f>
        <v/>
      </c>
      <c r="F33" s="7" t="n"/>
      <c r="G33" s="11">
        <f>IF(E33="","",E33-F33)</f>
        <v/>
      </c>
      <c r="H33" s="3" t="n"/>
      <c r="I33" s="3" t="n"/>
    </row>
    <row r="34">
      <c r="B34" s="2" t="inlineStr">
        <is>
          <t>Total</t>
        </is>
      </c>
      <c r="C34" s="13">
        <f>SUM(C4:C33)</f>
        <v/>
      </c>
      <c r="E34" s="13">
        <f>SUM(E4:E33)</f>
        <v/>
      </c>
      <c r="F34" s="13">
        <f>SUM(F4:F33)</f>
        <v/>
      </c>
      <c r="G34" s="13">
        <f>SUM(G4:G33)</f>
        <v/>
      </c>
    </row>
    <row r="36">
      <c r="B36" s="15" t="inlineStr">
        <is>
          <t>Tip: enter % complete (e.g. 40%), or overwrite column E with quantity × rate.</t>
        </is>
      </c>
    </row>
  </sheetData>
  <dataValidations count="1">
    <dataValidation sqref="H4:H33" showDropDown="0" showInputMessage="0" showErrorMessage="0" allowBlank="1" type="list">
      <formula1>"Instructed,Submitted,Agreed,Disputed"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2026-10-19T04:38:27Z</dcterms:created>
  <dcterms:modified xsi:type="dcterms:W3CDTF">2026-10-19T04:38:27Z</dcterms:modified>
</cp:coreProperties>
</file>