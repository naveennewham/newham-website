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report" sheetId="1" state="visible" r:id="rId1"/>
    <sheet name="Monthly trend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mmm-yyyy"/>
  </numFmts>
  <fonts count="7">
    <font>
      <name val="Calibri"/>
      <family val="2"/>
      <color theme="1"/>
      <sz val="11"/>
      <scheme val="minor"/>
    </font>
    <font>
      <b val="1"/>
      <color rgb="001F5F72"/>
      <sz val="16"/>
    </font>
    <font>
      <b val="1"/>
    </font>
    <font>
      <b val="1"/>
      <color rgb="001F5F72"/>
      <sz val="12"/>
    </font>
    <font>
      <b val="1"/>
      <color rgb="00FFFFFF"/>
    </font>
    <font>
      <color rgb="005B6B73"/>
      <sz val="9"/>
    </font>
    <font>
      <b val="1"/>
      <color rgb="001F5F72"/>
      <sz val="13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E6F1F4"/>
      </patternFill>
    </fill>
    <fill>
      <patternFill patternType="solid">
        <fgColor rgb="001F5F72"/>
      </patternFill>
    </fill>
  </fills>
  <borders count="2">
    <border>
      <left/>
      <right/>
      <top/>
      <bottom/>
      <diagonal/>
    </border>
    <border>
      <left style="thin">
        <color rgb="00C9D3D8"/>
      </left>
      <right style="thin">
        <color rgb="00C9D3D8"/>
      </right>
      <top style="thin">
        <color rgb="00C9D3D8"/>
      </top>
      <bottom style="thin">
        <color rgb="00C9D3D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164" fontId="0" fillId="2" borderId="1" pivotButton="0" quotePrefix="0" xfId="0"/>
    <xf numFmtId="164" fontId="2" fillId="3" borderId="1" pivotButton="0" quotePrefix="0" xfId="0"/>
    <xf numFmtId="0" fontId="4" fillId="4" borderId="1" applyAlignment="1" pivotButton="0" quotePrefix="0" xfId="0">
      <alignment vertical="center" wrapText="1"/>
    </xf>
    <xf numFmtId="164" fontId="0" fillId="0" borderId="1" pivotButton="0" quotePrefix="0" xfId="0"/>
    <xf numFmtId="165" fontId="0" fillId="0" borderId="1" pivotButton="0" quotePrefix="0" xfId="0"/>
    <xf numFmtId="0" fontId="0" fillId="2" borderId="1" applyAlignment="1" pivotButton="0" quotePrefix="0" xfId="0">
      <alignment wrapText="1"/>
    </xf>
    <xf numFmtId="165" fontId="2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166" fontId="0" fillId="2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ont>
        <color rgb="00B423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1" customWidth="1" min="8" max="8"/>
    <col width="44" customWidth="1" min="9" max="9"/>
  </cols>
  <sheetData>
    <row r="1">
      <c r="A1" s="1" t="inlineStr">
        <is>
          <t>MONTHLY PROJECT COST REPORT</t>
        </is>
      </c>
    </row>
    <row r="3">
      <c r="A3" s="2" t="inlineStr">
        <is>
          <t>Project</t>
        </is>
      </c>
      <c r="B3" s="3" t="n"/>
      <c r="C3" s="3" t="n"/>
      <c r="D3" s="3" t="n"/>
    </row>
    <row r="4">
      <c r="A4" s="2" t="inlineStr">
        <is>
          <t>Report month</t>
        </is>
      </c>
      <c r="B4" s="3" t="n"/>
      <c r="C4" s="3" t="n"/>
      <c r="D4" s="3" t="n"/>
    </row>
    <row r="5">
      <c r="A5" s="2" t="inlineStr">
        <is>
          <t>Prepared by</t>
        </is>
      </c>
      <c r="B5" s="3" t="n"/>
      <c r="C5" s="3" t="n"/>
      <c r="D5" s="3" t="n"/>
    </row>
    <row r="6">
      <c r="A6" s="2" t="inlineStr">
        <is>
          <t>Currency</t>
        </is>
      </c>
      <c r="B6" s="3" t="inlineStr">
        <is>
          <t>SGD, before GST</t>
        </is>
      </c>
      <c r="C6" s="3" t="n"/>
      <c r="D6" s="3" t="n"/>
    </row>
    <row r="8">
      <c r="A8" s="4" t="inlineStr">
        <is>
          <t>Revenue</t>
        </is>
      </c>
    </row>
    <row r="9">
      <c r="A9" t="inlineStr">
        <is>
          <t>Contract value</t>
        </is>
      </c>
      <c r="B9" s="5" t="n"/>
    </row>
    <row r="10">
      <c r="A10" t="inlineStr">
        <is>
          <t>Approved variations</t>
        </is>
      </c>
      <c r="B10" s="5" t="n"/>
    </row>
    <row r="11">
      <c r="A11" t="inlineStr">
        <is>
          <t>Expected variations (not yet agreed)</t>
        </is>
      </c>
      <c r="B11" s="5" t="n"/>
    </row>
    <row r="12">
      <c r="A12" t="inlineStr">
        <is>
          <t>Claimed to date</t>
        </is>
      </c>
      <c r="B12" s="5" t="n"/>
    </row>
    <row r="13">
      <c r="A13" t="inlineStr">
        <is>
          <t>Certified to date</t>
        </is>
      </c>
      <c r="B13" s="5" t="n"/>
    </row>
    <row r="14">
      <c r="A14" s="2" t="inlineStr">
        <is>
          <t>Forecast final revenue</t>
        </is>
      </c>
      <c r="B14" s="6">
        <f>B9+B10+B11</f>
        <v/>
      </c>
    </row>
    <row r="17">
      <c r="A17" s="4" t="inlineStr">
        <is>
          <t>Cost by cost code</t>
        </is>
      </c>
    </row>
    <row r="18">
      <c r="A18" s="7" t="inlineStr">
        <is>
          <t>Cost code</t>
        </is>
      </c>
      <c r="B18" s="7" t="inlineStr">
        <is>
          <t>Budget</t>
        </is>
      </c>
      <c r="C18" s="7" t="inlineStr">
        <is>
          <t>Committed (POs and subcontracts)</t>
        </is>
      </c>
      <c r="D18" s="7" t="inlineStr">
        <is>
          <t>Actual to date</t>
        </is>
      </c>
      <c r="E18" s="7" t="inlineStr">
        <is>
          <t>Cost to complete (PM estimate)</t>
        </is>
      </c>
      <c r="F18" s="7" t="inlineStr">
        <is>
          <t>Forecast final cost</t>
        </is>
      </c>
      <c r="G18" s="7" t="inlineStr">
        <is>
          <t>Variance (budget less forecast)</t>
        </is>
      </c>
      <c r="H18" s="7" t="inlineStr">
        <is>
          <t>Variance %</t>
        </is>
      </c>
      <c r="I18" s="7" t="inlineStr">
        <is>
          <t>Reason and action</t>
        </is>
      </c>
    </row>
    <row r="19">
      <c r="A19" s="3" t="inlineStr">
        <is>
          <t>Materials</t>
        </is>
      </c>
      <c r="B19" s="5" t="n"/>
      <c r="C19" s="5" t="n"/>
      <c r="D19" s="5" t="n"/>
      <c r="E19" s="5" t="n"/>
      <c r="F19" s="8">
        <f>IF(AND(D19="",E19=""),"",N(D19)+N(E19))</f>
        <v/>
      </c>
      <c r="G19" s="8">
        <f>IF(F19="","",N(B19)-F19)</f>
        <v/>
      </c>
      <c r="H19" s="9">
        <f>IF(OR(F19="",N(B19)=0),"",G19/B19)</f>
        <v/>
      </c>
      <c r="I19" s="10" t="n"/>
    </row>
    <row r="20">
      <c r="A20" s="3" t="inlineStr">
        <is>
          <t>Subcontract labour</t>
        </is>
      </c>
      <c r="B20" s="5" t="n"/>
      <c r="C20" s="5" t="n"/>
      <c r="D20" s="5" t="n"/>
      <c r="E20" s="5" t="n"/>
      <c r="F20" s="8">
        <f>IF(AND(D20="",E20=""),"",N(D20)+N(E20))</f>
        <v/>
      </c>
      <c r="G20" s="8">
        <f>IF(F20="","",N(B20)-F20)</f>
        <v/>
      </c>
      <c r="H20" s="9">
        <f>IF(OR(F20="",N(B20)=0),"",G20/B20)</f>
        <v/>
      </c>
      <c r="I20" s="10" t="n"/>
    </row>
    <row r="21">
      <c r="A21" s="3" t="inlineStr">
        <is>
          <t>Direct labour</t>
        </is>
      </c>
      <c r="B21" s="5" t="n"/>
      <c r="C21" s="5" t="n"/>
      <c r="D21" s="5" t="n"/>
      <c r="E21" s="5" t="n"/>
      <c r="F21" s="8">
        <f>IF(AND(D21="",E21=""),"",N(D21)+N(E21))</f>
        <v/>
      </c>
      <c r="G21" s="8">
        <f>IF(F21="","",N(B21)-F21)</f>
        <v/>
      </c>
      <c r="H21" s="9">
        <f>IF(OR(F21="",N(B21)=0),"",G21/B21)</f>
        <v/>
      </c>
      <c r="I21" s="10" t="n"/>
    </row>
    <row r="22">
      <c r="A22" s="3" t="inlineStr">
        <is>
          <t>Equipment and testing</t>
        </is>
      </c>
      <c r="B22" s="5" t="n"/>
      <c r="C22" s="5" t="n"/>
      <c r="D22" s="5" t="n"/>
      <c r="E22" s="5" t="n"/>
      <c r="F22" s="8">
        <f>IF(AND(D22="",E22=""),"",N(D22)+N(E22))</f>
        <v/>
      </c>
      <c r="G22" s="8">
        <f>IF(F22="","",N(B22)-F22)</f>
        <v/>
      </c>
      <c r="H22" s="9">
        <f>IF(OR(F22="",N(B22)=0),"",G22/B22)</f>
        <v/>
      </c>
      <c r="I22" s="10" t="n"/>
    </row>
    <row r="23">
      <c r="A23" s="3" t="inlineStr">
        <is>
          <t>Preliminaries</t>
        </is>
      </c>
      <c r="B23" s="5" t="n"/>
      <c r="C23" s="5" t="n"/>
      <c r="D23" s="5" t="n"/>
      <c r="E23" s="5" t="n"/>
      <c r="F23" s="8">
        <f>IF(AND(D23="",E23=""),"",N(D23)+N(E23))</f>
        <v/>
      </c>
      <c r="G23" s="8">
        <f>IF(F23="","",N(B23)-F23)</f>
        <v/>
      </c>
      <c r="H23" s="9">
        <f>IF(OR(F23="",N(B23)=0),"",G23/B23)</f>
        <v/>
      </c>
      <c r="I23" s="10" t="n"/>
    </row>
    <row r="24">
      <c r="A24" s="3" t="inlineStr">
        <is>
          <t>Overhead</t>
        </is>
      </c>
      <c r="B24" s="5" t="n"/>
      <c r="C24" s="5" t="n"/>
      <c r="D24" s="5" t="n"/>
      <c r="E24" s="5" t="n"/>
      <c r="F24" s="8">
        <f>IF(AND(D24="",E24=""),"",N(D24)+N(E24))</f>
        <v/>
      </c>
      <c r="G24" s="8">
        <f>IF(F24="","",N(B24)-F24)</f>
        <v/>
      </c>
      <c r="H24" s="9">
        <f>IF(OR(F24="",N(B24)=0),"",G24/B24)</f>
        <v/>
      </c>
      <c r="I24" s="10" t="n"/>
    </row>
    <row r="25">
      <c r="A25" s="3" t="n"/>
      <c r="B25" s="5" t="n"/>
      <c r="C25" s="5" t="n"/>
      <c r="D25" s="5" t="n"/>
      <c r="E25" s="5" t="n"/>
      <c r="F25" s="8">
        <f>IF(AND(D25="",E25=""),"",N(D25)+N(E25))</f>
        <v/>
      </c>
      <c r="G25" s="8">
        <f>IF(F25="","",N(B25)-F25)</f>
        <v/>
      </c>
      <c r="H25" s="9">
        <f>IF(OR(F25="",N(B25)=0),"",G25/B25)</f>
        <v/>
      </c>
      <c r="I25" s="10" t="n"/>
    </row>
    <row r="26">
      <c r="A26" s="3" t="n"/>
      <c r="B26" s="5" t="n"/>
      <c r="C26" s="5" t="n"/>
      <c r="D26" s="5" t="n"/>
      <c r="E26" s="5" t="n"/>
      <c r="F26" s="8">
        <f>IF(AND(D26="",E26=""),"",N(D26)+N(E26))</f>
        <v/>
      </c>
      <c r="G26" s="8">
        <f>IF(F26="","",N(B26)-F26)</f>
        <v/>
      </c>
      <c r="H26" s="9">
        <f>IF(OR(F26="",N(B26)=0),"",G26/B26)</f>
        <v/>
      </c>
      <c r="I26" s="10" t="n"/>
    </row>
    <row r="27">
      <c r="A27" s="3" t="n"/>
      <c r="B27" s="5" t="n"/>
      <c r="C27" s="5" t="n"/>
      <c r="D27" s="5" t="n"/>
      <c r="E27" s="5" t="n"/>
      <c r="F27" s="8">
        <f>IF(AND(D27="",E27=""),"",N(D27)+N(E27))</f>
        <v/>
      </c>
      <c r="G27" s="8">
        <f>IF(F27="","",N(B27)-F27)</f>
        <v/>
      </c>
      <c r="H27" s="9">
        <f>IF(OR(F27="",N(B27)=0),"",G27/B27)</f>
        <v/>
      </c>
      <c r="I27" s="10" t="n"/>
    </row>
    <row r="28">
      <c r="A28" s="3" t="n"/>
      <c r="B28" s="5" t="n"/>
      <c r="C28" s="5" t="n"/>
      <c r="D28" s="5" t="n"/>
      <c r="E28" s="5" t="n"/>
      <c r="F28" s="8">
        <f>IF(AND(D28="",E28=""),"",N(D28)+N(E28))</f>
        <v/>
      </c>
      <c r="G28" s="8">
        <f>IF(F28="","",N(B28)-F28)</f>
        <v/>
      </c>
      <c r="H28" s="9">
        <f>IF(OR(F28="",N(B28)=0),"",G28/B28)</f>
        <v/>
      </c>
      <c r="I28" s="10" t="n"/>
    </row>
    <row r="29">
      <c r="A29" s="3" t="n"/>
      <c r="B29" s="5" t="n"/>
      <c r="C29" s="5" t="n"/>
      <c r="D29" s="5" t="n"/>
      <c r="E29" s="5" t="n"/>
      <c r="F29" s="8">
        <f>IF(AND(D29="",E29=""),"",N(D29)+N(E29))</f>
        <v/>
      </c>
      <c r="G29" s="8">
        <f>IF(F29="","",N(B29)-F29)</f>
        <v/>
      </c>
      <c r="H29" s="9">
        <f>IF(OR(F29="",N(B29)=0),"",G29/B29)</f>
        <v/>
      </c>
      <c r="I29" s="10" t="n"/>
    </row>
    <row r="30">
      <c r="A30" s="3" t="n"/>
      <c r="B30" s="5" t="n"/>
      <c r="C30" s="5" t="n"/>
      <c r="D30" s="5" t="n"/>
      <c r="E30" s="5" t="n"/>
      <c r="F30" s="8">
        <f>IF(AND(D30="",E30=""),"",N(D30)+N(E30))</f>
        <v/>
      </c>
      <c r="G30" s="8">
        <f>IF(F30="","",N(B30)-F30)</f>
        <v/>
      </c>
      <c r="H30" s="9">
        <f>IF(OR(F30="",N(B30)=0),"",G30/B30)</f>
        <v/>
      </c>
      <c r="I30" s="10" t="n"/>
    </row>
    <row r="31">
      <c r="A31" s="3" t="n"/>
      <c r="B31" s="5" t="n"/>
      <c r="C31" s="5" t="n"/>
      <c r="D31" s="5" t="n"/>
      <c r="E31" s="5" t="n"/>
      <c r="F31" s="8">
        <f>IF(AND(D31="",E31=""),"",N(D31)+N(E31))</f>
        <v/>
      </c>
      <c r="G31" s="8">
        <f>IF(F31="","",N(B31)-F31)</f>
        <v/>
      </c>
      <c r="H31" s="9">
        <f>IF(OR(F31="",N(B31)=0),"",G31/B31)</f>
        <v/>
      </c>
      <c r="I31" s="10" t="n"/>
    </row>
    <row r="32">
      <c r="A32" s="3" t="n"/>
      <c r="B32" s="5" t="n"/>
      <c r="C32" s="5" t="n"/>
      <c r="D32" s="5" t="n"/>
      <c r="E32" s="5" t="n"/>
      <c r="F32" s="8">
        <f>IF(AND(D32="",E32=""),"",N(D32)+N(E32))</f>
        <v/>
      </c>
      <c r="G32" s="8">
        <f>IF(F32="","",N(B32)-F32)</f>
        <v/>
      </c>
      <c r="H32" s="9">
        <f>IF(OR(F32="",N(B32)=0),"",G32/B32)</f>
        <v/>
      </c>
      <c r="I32" s="10" t="n"/>
    </row>
    <row r="33">
      <c r="A33" s="3" t="n"/>
      <c r="B33" s="5" t="n"/>
      <c r="C33" s="5" t="n"/>
      <c r="D33" s="5" t="n"/>
      <c r="E33" s="5" t="n"/>
      <c r="F33" s="8">
        <f>IF(AND(D33="",E33=""),"",N(D33)+N(E33))</f>
        <v/>
      </c>
      <c r="G33" s="8">
        <f>IF(F33="","",N(B33)-F33)</f>
        <v/>
      </c>
      <c r="H33" s="9">
        <f>IF(OR(F33="",N(B33)=0),"",G33/B33)</f>
        <v/>
      </c>
      <c r="I33" s="10" t="n"/>
    </row>
    <row r="34">
      <c r="A34" s="3" t="n"/>
      <c r="B34" s="5" t="n"/>
      <c r="C34" s="5" t="n"/>
      <c r="D34" s="5" t="n"/>
      <c r="E34" s="5" t="n"/>
      <c r="F34" s="8">
        <f>IF(AND(D34="",E34=""),"",N(D34)+N(E34))</f>
        <v/>
      </c>
      <c r="G34" s="8">
        <f>IF(F34="","",N(B34)-F34)</f>
        <v/>
      </c>
      <c r="H34" s="9">
        <f>IF(OR(F34="",N(B34)=0),"",G34/B34)</f>
        <v/>
      </c>
      <c r="I34" s="10" t="n"/>
    </row>
    <row r="35">
      <c r="A35" s="3" t="n"/>
      <c r="B35" s="5" t="n"/>
      <c r="C35" s="5" t="n"/>
      <c r="D35" s="5" t="n"/>
      <c r="E35" s="5" t="n"/>
      <c r="F35" s="8">
        <f>IF(AND(D35="",E35=""),"",N(D35)+N(E35))</f>
        <v/>
      </c>
      <c r="G35" s="8">
        <f>IF(F35="","",N(B35)-F35)</f>
        <v/>
      </c>
      <c r="H35" s="9">
        <f>IF(OR(F35="",N(B35)=0),"",G35/B35)</f>
        <v/>
      </c>
      <c r="I35" s="10" t="n"/>
    </row>
    <row r="36">
      <c r="A36" s="3" t="n"/>
      <c r="B36" s="5" t="n"/>
      <c r="C36" s="5" t="n"/>
      <c r="D36" s="5" t="n"/>
      <c r="E36" s="5" t="n"/>
      <c r="F36" s="8">
        <f>IF(AND(D36="",E36=""),"",N(D36)+N(E36))</f>
        <v/>
      </c>
      <c r="G36" s="8">
        <f>IF(F36="","",N(B36)-F36)</f>
        <v/>
      </c>
      <c r="H36" s="9">
        <f>IF(OR(F36="",N(B36)=0),"",G36/B36)</f>
        <v/>
      </c>
      <c r="I36" s="10" t="n"/>
    </row>
    <row r="37">
      <c r="A37" s="3" t="n"/>
      <c r="B37" s="5" t="n"/>
      <c r="C37" s="5" t="n"/>
      <c r="D37" s="5" t="n"/>
      <c r="E37" s="5" t="n"/>
      <c r="F37" s="8">
        <f>IF(AND(D37="",E37=""),"",N(D37)+N(E37))</f>
        <v/>
      </c>
      <c r="G37" s="8">
        <f>IF(F37="","",N(B37)-F37)</f>
        <v/>
      </c>
      <c r="H37" s="9">
        <f>IF(OR(F37="",N(B37)=0),"",G37/B37)</f>
        <v/>
      </c>
      <c r="I37" s="10" t="n"/>
    </row>
    <row r="38">
      <c r="A38" s="3" t="n"/>
      <c r="B38" s="5" t="n"/>
      <c r="C38" s="5" t="n"/>
      <c r="D38" s="5" t="n"/>
      <c r="E38" s="5" t="n"/>
      <c r="F38" s="8">
        <f>IF(AND(D38="",E38=""),"",N(D38)+N(E38))</f>
        <v/>
      </c>
      <c r="G38" s="8">
        <f>IF(F38="","",N(B38)-F38)</f>
        <v/>
      </c>
      <c r="H38" s="9">
        <f>IF(OR(F38="",N(B38)=0),"",G38/B38)</f>
        <v/>
      </c>
      <c r="I38" s="10" t="n"/>
    </row>
    <row r="39">
      <c r="A39" s="2" t="inlineStr">
        <is>
          <t>Total</t>
        </is>
      </c>
      <c r="B39" s="6">
        <f>SUM(B19:B38)</f>
        <v/>
      </c>
      <c r="C39" s="6">
        <f>SUM(C19:C38)</f>
        <v/>
      </c>
      <c r="D39" s="6">
        <f>SUM(D19:D38)</f>
        <v/>
      </c>
      <c r="E39" s="6">
        <f>SUM(E19:E38)</f>
        <v/>
      </c>
      <c r="F39" s="6">
        <f>SUM(F19:F38)</f>
        <v/>
      </c>
      <c r="G39" s="6">
        <f>SUM(G19:G38)</f>
        <v/>
      </c>
      <c r="H39" s="11">
        <f>IF(B39=0,"",G39/B39)</f>
        <v/>
      </c>
    </row>
    <row r="41">
      <c r="A41" s="4" t="inlineStr">
        <is>
          <t>Margin</t>
        </is>
      </c>
    </row>
    <row r="42">
      <c r="A42" t="inlineStr">
        <is>
          <t>Budget margin (contract value + approved variations − budget)</t>
        </is>
      </c>
      <c r="B42" s="6">
        <f>B9+B10-B39</f>
        <v/>
      </c>
    </row>
    <row r="43">
      <c r="A43" t="inlineStr">
        <is>
          <t>Forecast margin (forecast final revenue − forecast final cost)</t>
        </is>
      </c>
      <c r="B43" s="6">
        <f>B14-F39</f>
        <v/>
      </c>
    </row>
    <row r="44">
      <c r="A44" t="inlineStr">
        <is>
          <t>Forecast margin %</t>
        </is>
      </c>
      <c r="B44" s="11">
        <f>IF(B14=0,"",(B14-F39)/B14)</f>
        <v/>
      </c>
    </row>
    <row r="45">
      <c r="A45" t="inlineStr">
        <is>
          <t>Committed but not yet invoiced (check cost to complete covers it)</t>
        </is>
      </c>
      <c r="B45" s="6">
        <f>MAX(0,C39-D39)</f>
        <v/>
      </c>
    </row>
    <row r="47">
      <c r="A47" s="12" t="inlineStr">
        <is>
          <t>Yellow cells are inputs. Forecast final cost = actual to date + cost to complete. Negative variance (red) means over budget.</t>
        </is>
      </c>
    </row>
    <row r="48">
      <c r="A48" s="12" t="inlineStr">
        <is>
          <t>Cost to complete is the PM's estimate of what is still needed, including commitments not yet invoiced. Do not set it to budget minus actual.</t>
        </is>
      </c>
    </row>
    <row r="49">
      <c r="A49" s="12" t="inlineStr">
        <is>
          <t>Template by CCorex (ccorex.com). General information, not accounting advice.</t>
        </is>
      </c>
    </row>
  </sheetData>
  <mergeCells count="7">
    <mergeCell ref="B3:D3"/>
    <mergeCell ref="B5:D5"/>
    <mergeCell ref="A49:I49"/>
    <mergeCell ref="A47:I47"/>
    <mergeCell ref="A48:I48"/>
    <mergeCell ref="B4:D4"/>
    <mergeCell ref="B6:D6"/>
  </mergeCells>
  <conditionalFormatting sqref="G19:H38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6" customWidth="1" min="5" max="5"/>
    <col width="14" customWidth="1" min="6" max="6"/>
    <col width="12" customWidth="1" min="7" max="7"/>
    <col width="44" customWidth="1" min="8" max="8"/>
  </cols>
  <sheetData>
    <row r="1">
      <c r="A1" s="13" t="inlineStr">
        <is>
          <t>Forecast final cost and margin by month</t>
        </is>
      </c>
    </row>
    <row r="3">
      <c r="A3" s="7" t="inlineStr">
        <is>
          <t>Month</t>
        </is>
      </c>
      <c r="B3" s="7" t="inlineStr">
        <is>
          <t>Budget</t>
        </is>
      </c>
      <c r="C3" s="7" t="inlineStr">
        <is>
          <t>Actual to date</t>
        </is>
      </c>
      <c r="D3" s="7" t="inlineStr">
        <is>
          <t>Forecast final cost</t>
        </is>
      </c>
      <c r="E3" s="7" t="inlineStr">
        <is>
          <t>Forecast final revenue</t>
        </is>
      </c>
      <c r="F3" s="7" t="inlineStr">
        <is>
          <t>Forecast margin</t>
        </is>
      </c>
      <c r="G3" s="7" t="inlineStr">
        <is>
          <t>Forecast margin %</t>
        </is>
      </c>
      <c r="H3" s="7" t="inlineStr">
        <is>
          <t>Comment</t>
        </is>
      </c>
    </row>
    <row r="4">
      <c r="A4" s="14" t="n"/>
      <c r="B4" s="5" t="n"/>
      <c r="C4" s="5" t="n"/>
      <c r="D4" s="5" t="n"/>
      <c r="E4" s="5" t="n"/>
      <c r="F4" s="8">
        <f>IF(OR(D4="",E4=""),"",E4-D4)</f>
        <v/>
      </c>
      <c r="G4" s="9">
        <f>IF(OR(F4="",N(E4)=0),"",F4/E4)</f>
        <v/>
      </c>
      <c r="H4" s="3" t="n"/>
    </row>
    <row r="5">
      <c r="A5" s="14" t="n"/>
      <c r="B5" s="5" t="n"/>
      <c r="C5" s="5" t="n"/>
      <c r="D5" s="5" t="n"/>
      <c r="E5" s="5" t="n"/>
      <c r="F5" s="8">
        <f>IF(OR(D5="",E5=""),"",E5-D5)</f>
        <v/>
      </c>
      <c r="G5" s="9">
        <f>IF(OR(F5="",N(E5)=0),"",F5/E5)</f>
        <v/>
      </c>
      <c r="H5" s="3" t="n"/>
    </row>
    <row r="6">
      <c r="A6" s="14" t="n"/>
      <c r="B6" s="5" t="n"/>
      <c r="C6" s="5" t="n"/>
      <c r="D6" s="5" t="n"/>
      <c r="E6" s="5" t="n"/>
      <c r="F6" s="8">
        <f>IF(OR(D6="",E6=""),"",E6-D6)</f>
        <v/>
      </c>
      <c r="G6" s="9">
        <f>IF(OR(F6="",N(E6)=0),"",F6/E6)</f>
        <v/>
      </c>
      <c r="H6" s="3" t="n"/>
    </row>
    <row r="7">
      <c r="A7" s="14" t="n"/>
      <c r="B7" s="5" t="n"/>
      <c r="C7" s="5" t="n"/>
      <c r="D7" s="5" t="n"/>
      <c r="E7" s="5" t="n"/>
      <c r="F7" s="8">
        <f>IF(OR(D7="",E7=""),"",E7-D7)</f>
        <v/>
      </c>
      <c r="G7" s="9">
        <f>IF(OR(F7="",N(E7)=0),"",F7/E7)</f>
        <v/>
      </c>
      <c r="H7" s="3" t="n"/>
    </row>
    <row r="8">
      <c r="A8" s="14" t="n"/>
      <c r="B8" s="5" t="n"/>
      <c r="C8" s="5" t="n"/>
      <c r="D8" s="5" t="n"/>
      <c r="E8" s="5" t="n"/>
      <c r="F8" s="8">
        <f>IF(OR(D8="",E8=""),"",E8-D8)</f>
        <v/>
      </c>
      <c r="G8" s="9">
        <f>IF(OR(F8="",N(E8)=0),"",F8/E8)</f>
        <v/>
      </c>
      <c r="H8" s="3" t="n"/>
    </row>
    <row r="9">
      <c r="A9" s="14" t="n"/>
      <c r="B9" s="5" t="n"/>
      <c r="C9" s="5" t="n"/>
      <c r="D9" s="5" t="n"/>
      <c r="E9" s="5" t="n"/>
      <c r="F9" s="8">
        <f>IF(OR(D9="",E9=""),"",E9-D9)</f>
        <v/>
      </c>
      <c r="G9" s="9">
        <f>IF(OR(F9="",N(E9)=0),"",F9/E9)</f>
        <v/>
      </c>
      <c r="H9" s="3" t="n"/>
    </row>
    <row r="10">
      <c r="A10" s="14" t="n"/>
      <c r="B10" s="5" t="n"/>
      <c r="C10" s="5" t="n"/>
      <c r="D10" s="5" t="n"/>
      <c r="E10" s="5" t="n"/>
      <c r="F10" s="8">
        <f>IF(OR(D10="",E10=""),"",E10-D10)</f>
        <v/>
      </c>
      <c r="G10" s="9">
        <f>IF(OR(F10="",N(E10)=0),"",F10/E10)</f>
        <v/>
      </c>
      <c r="H10" s="3" t="n"/>
    </row>
    <row r="11">
      <c r="A11" s="14" t="n"/>
      <c r="B11" s="5" t="n"/>
      <c r="C11" s="5" t="n"/>
      <c r="D11" s="5" t="n"/>
      <c r="E11" s="5" t="n"/>
      <c r="F11" s="8">
        <f>IF(OR(D11="",E11=""),"",E11-D11)</f>
        <v/>
      </c>
      <c r="G11" s="9">
        <f>IF(OR(F11="",N(E11)=0),"",F11/E11)</f>
        <v/>
      </c>
      <c r="H11" s="3" t="n"/>
    </row>
    <row r="12">
      <c r="A12" s="14" t="n"/>
      <c r="B12" s="5" t="n"/>
      <c r="C12" s="5" t="n"/>
      <c r="D12" s="5" t="n"/>
      <c r="E12" s="5" t="n"/>
      <c r="F12" s="8">
        <f>IF(OR(D12="",E12=""),"",E12-D12)</f>
        <v/>
      </c>
      <c r="G12" s="9">
        <f>IF(OR(F12="",N(E12)=0),"",F12/E12)</f>
        <v/>
      </c>
      <c r="H12" s="3" t="n"/>
    </row>
    <row r="13">
      <c r="A13" s="14" t="n"/>
      <c r="B13" s="5" t="n"/>
      <c r="C13" s="5" t="n"/>
      <c r="D13" s="5" t="n"/>
      <c r="E13" s="5" t="n"/>
      <c r="F13" s="8">
        <f>IF(OR(D13="",E13=""),"",E13-D13)</f>
        <v/>
      </c>
      <c r="G13" s="9">
        <f>IF(OR(F13="",N(E13)=0),"",F13/E13)</f>
        <v/>
      </c>
      <c r="H13" s="3" t="n"/>
    </row>
    <row r="14">
      <c r="A14" s="14" t="n"/>
      <c r="B14" s="5" t="n"/>
      <c r="C14" s="5" t="n"/>
      <c r="D14" s="5" t="n"/>
      <c r="E14" s="5" t="n"/>
      <c r="F14" s="8">
        <f>IF(OR(D14="",E14=""),"",E14-D14)</f>
        <v/>
      </c>
      <c r="G14" s="9">
        <f>IF(OR(F14="",N(E14)=0),"",F14/E14)</f>
        <v/>
      </c>
      <c r="H14" s="3" t="n"/>
    </row>
    <row r="15">
      <c r="A15" s="14" t="n"/>
      <c r="B15" s="5" t="n"/>
      <c r="C15" s="5" t="n"/>
      <c r="D15" s="5" t="n"/>
      <c r="E15" s="5" t="n"/>
      <c r="F15" s="8">
        <f>IF(OR(D15="",E15=""),"",E15-D15)</f>
        <v/>
      </c>
      <c r="G15" s="9">
        <f>IF(OR(F15="",N(E15)=0),"",F15/E15)</f>
        <v/>
      </c>
      <c r="H15" s="3" t="n"/>
    </row>
    <row r="16">
      <c r="A16" s="14" t="n"/>
      <c r="B16" s="5" t="n"/>
      <c r="C16" s="5" t="n"/>
      <c r="D16" s="5" t="n"/>
      <c r="E16" s="5" t="n"/>
      <c r="F16" s="8">
        <f>IF(OR(D16="",E16=""),"",E16-D16)</f>
        <v/>
      </c>
      <c r="G16" s="9">
        <f>IF(OR(F16="",N(E16)=0),"",F16/E16)</f>
        <v/>
      </c>
      <c r="H16" s="3" t="n"/>
    </row>
    <row r="17">
      <c r="A17" s="14" t="n"/>
      <c r="B17" s="5" t="n"/>
      <c r="C17" s="5" t="n"/>
      <c r="D17" s="5" t="n"/>
      <c r="E17" s="5" t="n"/>
      <c r="F17" s="8">
        <f>IF(OR(D17="",E17=""),"",E17-D17)</f>
        <v/>
      </c>
      <c r="G17" s="9">
        <f>IF(OR(F17="",N(E17)=0),"",F17/E17)</f>
        <v/>
      </c>
      <c r="H17" s="3" t="n"/>
    </row>
    <row r="18">
      <c r="A18" s="14" t="n"/>
      <c r="B18" s="5" t="n"/>
      <c r="C18" s="5" t="n"/>
      <c r="D18" s="5" t="n"/>
      <c r="E18" s="5" t="n"/>
      <c r="F18" s="8">
        <f>IF(OR(D18="",E18=""),"",E18-D18)</f>
        <v/>
      </c>
      <c r="G18" s="9">
        <f>IF(OR(F18="",N(E18)=0),"",F18/E18)</f>
        <v/>
      </c>
      <c r="H18" s="3" t="n"/>
    </row>
    <row r="19">
      <c r="A19" s="14" t="n"/>
      <c r="B19" s="5" t="n"/>
      <c r="C19" s="5" t="n"/>
      <c r="D19" s="5" t="n"/>
      <c r="E19" s="5" t="n"/>
      <c r="F19" s="8">
        <f>IF(OR(D19="",E19=""),"",E19-D19)</f>
        <v/>
      </c>
      <c r="G19" s="9">
        <f>IF(OR(F19="",N(E19)=0),"",F19/E19)</f>
        <v/>
      </c>
      <c r="H19" s="3" t="n"/>
    </row>
    <row r="20">
      <c r="A20" s="14" t="n"/>
      <c r="B20" s="5" t="n"/>
      <c r="C20" s="5" t="n"/>
      <c r="D20" s="5" t="n"/>
      <c r="E20" s="5" t="n"/>
      <c r="F20" s="8">
        <f>IF(OR(D20="",E20=""),"",E20-D20)</f>
        <v/>
      </c>
      <c r="G20" s="9">
        <f>IF(OR(F20="",N(E20)=0),"",F20/E20)</f>
        <v/>
      </c>
      <c r="H20" s="3" t="n"/>
    </row>
    <row r="21">
      <c r="A21" s="14" t="n"/>
      <c r="B21" s="5" t="n"/>
      <c r="C21" s="5" t="n"/>
      <c r="D21" s="5" t="n"/>
      <c r="E21" s="5" t="n"/>
      <c r="F21" s="8">
        <f>IF(OR(D21="",E21=""),"",E21-D21)</f>
        <v/>
      </c>
      <c r="G21" s="9">
        <f>IF(OR(F21="",N(E21)=0),"",F21/E21)</f>
        <v/>
      </c>
      <c r="H21" s="3" t="n"/>
    </row>
    <row r="22">
      <c r="A22" s="14" t="n"/>
      <c r="B22" s="5" t="n"/>
      <c r="C22" s="5" t="n"/>
      <c r="D22" s="5" t="n"/>
      <c r="E22" s="5" t="n"/>
      <c r="F22" s="8">
        <f>IF(OR(D22="",E22=""),"",E22-D22)</f>
        <v/>
      </c>
      <c r="G22" s="9">
        <f>IF(OR(F22="",N(E22)=0),"",F22/E22)</f>
        <v/>
      </c>
      <c r="H22" s="3" t="n"/>
    </row>
    <row r="23">
      <c r="A23" s="14" t="n"/>
      <c r="B23" s="5" t="n"/>
      <c r="C23" s="5" t="n"/>
      <c r="D23" s="5" t="n"/>
      <c r="E23" s="5" t="n"/>
      <c r="F23" s="8">
        <f>IF(OR(D23="",E23=""),"",E23-D23)</f>
        <v/>
      </c>
      <c r="G23" s="9">
        <f>IF(OR(F23="",N(E23)=0),"",F23/E23)</f>
        <v/>
      </c>
      <c r="H23" s="3" t="n"/>
    </row>
    <row r="24">
      <c r="A24" s="14" t="n"/>
      <c r="B24" s="5" t="n"/>
      <c r="C24" s="5" t="n"/>
      <c r="D24" s="5" t="n"/>
      <c r="E24" s="5" t="n"/>
      <c r="F24" s="8">
        <f>IF(OR(D24="",E24=""),"",E24-D24)</f>
        <v/>
      </c>
      <c r="G24" s="9">
        <f>IF(OR(F24="",N(E24)=0),"",F24/E24)</f>
        <v/>
      </c>
      <c r="H24" s="3" t="n"/>
    </row>
    <row r="25">
      <c r="A25" s="14" t="n"/>
      <c r="B25" s="5" t="n"/>
      <c r="C25" s="5" t="n"/>
      <c r="D25" s="5" t="n"/>
      <c r="E25" s="5" t="n"/>
      <c r="F25" s="8">
        <f>IF(OR(D25="",E25=""),"",E25-D25)</f>
        <v/>
      </c>
      <c r="G25" s="9">
        <f>IF(OR(F25="",N(E25)=0),"",F25/E25)</f>
        <v/>
      </c>
      <c r="H25" s="3" t="n"/>
    </row>
    <row r="26">
      <c r="A26" s="14" t="n"/>
      <c r="B26" s="5" t="n"/>
      <c r="C26" s="5" t="n"/>
      <c r="D26" s="5" t="n"/>
      <c r="E26" s="5" t="n"/>
      <c r="F26" s="8">
        <f>IF(OR(D26="",E26=""),"",E26-D26)</f>
        <v/>
      </c>
      <c r="G26" s="9">
        <f>IF(OR(F26="",N(E26)=0),"",F26/E26)</f>
        <v/>
      </c>
      <c r="H26" s="3" t="n"/>
    </row>
    <row r="27">
      <c r="A27" s="14" t="n"/>
      <c r="B27" s="5" t="n"/>
      <c r="C27" s="5" t="n"/>
      <c r="D27" s="5" t="n"/>
      <c r="E27" s="5" t="n"/>
      <c r="F27" s="8">
        <f>IF(OR(D27="",E27=""),"",E27-D27)</f>
        <v/>
      </c>
      <c r="G27" s="9">
        <f>IF(OR(F27="",N(E27)=0),"",F27/E27)</f>
        <v/>
      </c>
      <c r="H27" s="3" t="n"/>
    </row>
    <row r="29">
      <c r="A29" s="12" t="inlineStr">
        <is>
          <t>Copy the totals from the "Cost report" sheet here at each month-end, so the trend is kept.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How to use this template</t>
        </is>
      </c>
    </row>
    <row r="3">
      <c r="A3" s="15" t="inlineStr">
        <is>
          <t>1. Use the same cost codes as your approved budget, so budget and actuals line up row by row.</t>
        </is>
      </c>
    </row>
    <row r="4">
      <c r="A4" s="15" t="inlineStr">
        <is>
          <t>2. Close the month first: post matched invoices and allocate labour and overhead, so "Actual to date" is complete.</t>
        </is>
      </c>
    </row>
    <row r="5">
      <c r="A5" s="15" t="inlineStr">
        <is>
          <t>3. "Committed" is every approved PO and subcontract value, invoiced or not. Remove cancelled orders.</t>
        </is>
      </c>
    </row>
    <row r="6">
      <c r="A6" s="15" t="inlineStr">
        <is>
          <t>4. Ask the PM for "Cost to complete" code by code, in figures, with a reason for any change from last month.</t>
        </is>
      </c>
    </row>
    <row r="7">
      <c r="A7" s="15" t="inlineStr">
        <is>
          <t>5. Explain every variance above your threshold in the "Reason and action" column.</t>
        </is>
      </c>
    </row>
    <row r="8">
      <c r="A8" s="15" t="inlineStr">
        <is>
          <t>6. Fill the revenue block, including approved variations and, separately, variations you expect to be agreed.</t>
        </is>
      </c>
    </row>
    <row r="9">
      <c r="A9" s="15" t="inlineStr">
        <is>
          <t>7. Copy the month's totals to the "Monthly trend" sheet and keep each month's report.</t>
        </is>
      </c>
    </row>
    <row r="10">
      <c r="A10" s="15" t="inlineStr"/>
    </row>
    <row r="11">
      <c r="A11" s="15" t="inlineStr">
        <is>
          <t>Figures are before GST. This template is general information, not accounting advice.</t>
        </is>
      </c>
    </row>
    <row r="12">
      <c r="A12" s="15" t="inlineStr">
        <is>
          <t>Guide: ccorex.com/resources/construction-cost-report-template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2026-10-27T14:09:10Z</dcterms:created>
  <dcterms:modified xsi:type="dcterms:W3CDTF">2026-10-27T14:09:10Z</dcterms:modified>
</cp:coreProperties>
</file>